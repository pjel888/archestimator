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d Form" state="visible" r:id="rId4"/>
    <sheet sheetId="2" name="Summary" state="visible" r:id="rId5"/>
    <sheet sheetId="3" name="Commercial Terms" state="visible" r:id="rId6"/>
    <sheet sheetId="4" name="Source Breakdown" state="visible" r:id="rId7"/>
  </sheets>
  <definedNames>
    <definedName name="_xlnm.Print_Titles" localSheetId="0">'Bid Form'!$17:$17</definedName>
  </definedNames>
  <calcPr calcId="171027"/>
</workbook>
</file>

<file path=xl/sharedStrings.xml><?xml version="1.0" encoding="utf-8"?>
<sst xmlns="http://schemas.openxmlformats.org/spreadsheetml/2006/main" count="162" uniqueCount="103">
  <si>
    <t>BID FORM / BILL OF QUANTITIES</t>
  </si>
  <si>
    <t>Project</t>
  </si>
  <si>
    <t>Lewis Residence Demo</t>
  </si>
  <si>
    <t>Location</t>
  </si>
  <si>
    <t>Quezon City</t>
  </si>
  <si>
    <t>Owner / Client</t>
  </si>
  <si>
    <t/>
  </si>
  <si>
    <t>Bidder / Contractor</t>
  </si>
  <si>
    <t>Archestimator beta workbook</t>
  </si>
  <si>
    <t>Estimate / Revision</t>
  </si>
  <si>
    <t>Closed Beta Demo Estimate (Closed beta proof artifact)</t>
  </si>
  <si>
    <t>Date Submitted</t>
  </si>
  <si>
    <t>2026-06-02</t>
  </si>
  <si>
    <t>General Notes</t>
  </si>
  <si>
    <t>1. Do not leave LINE TOTAL blank; formulas or zero values must be visible for every item.</t>
  </si>
  <si>
    <t>2. Indicate INCLUDED, EXCLUDED, BY OTHERS, OWNER SUPPLIED, OSM, OFCI, OSCI, OMITTED, or NOT APPLICABLE in the SCOPE column.</t>
  </si>
  <si>
    <t>3. Double-check formulas, section subtotals, and grand totals before issuing.</t>
  </si>
  <si>
    <t>4. Add non-standard work under OTHERS / MISCELLANEOUS.</t>
  </si>
  <si>
    <t>5. Use Notes / Remarks for specifications, exclusions, assumptions, or supplier considerations.</t>
  </si>
  <si>
    <t>ITEM</t>
  </si>
  <si>
    <t>PARTICULARS</t>
  </si>
  <si>
    <t>UNIT</t>
  </si>
  <si>
    <t>QTY</t>
  </si>
  <si>
    <t>MATERIAL</t>
  </si>
  <si>
    <t>LABOR</t>
  </si>
  <si>
    <t>COST TOTAL</t>
  </si>
  <si>
    <t>LINE TOTAL</t>
  </si>
  <si>
    <t>SCOPE</t>
  </si>
  <si>
    <t>NOTES / REMARKS</t>
  </si>
  <si>
    <t>General Preliminaries</t>
  </si>
  <si>
    <t>1</t>
  </si>
  <si>
    <t>Mobilization and site setup — Temporary facilities and site setup</t>
  </si>
  <si>
    <t>lot</t>
  </si>
  <si>
    <t>INCLUDED</t>
  </si>
  <si>
    <t>Supplier: Internal allowance | Pricing: Estimator allowance | As of 2026-06-02 | Confidence: allowance</t>
  </si>
  <si>
    <t>General Preliminaries subtotal</t>
  </si>
  <si>
    <t>Finishes</t>
  </si>
  <si>
    <t>2</t>
  </si>
  <si>
    <t>Mariwasa 600 x 600 Porcelain Tile — Supply and install porcelain floor tile</t>
  </si>
  <si>
    <t>sqm</t>
  </si>
  <si>
    <t>Misc / other: ₱500.00 | Supplier: Wilcon Depot / Mariwasa | Pricing: Supplier allowance - verify quote | As of 2026-06-02 | Confidence: allowance</t>
  </si>
  <si>
    <t>3</t>
  </si>
  <si>
    <t>Project-specific wall paint allowance — Detached project-specific paint allowance</t>
  </si>
  <si>
    <t>Misc / other: ₱250.00 | Supplier: Owner preferred supplier | Pricing: Project-specific allowance | As of 2026-06-02 | Confidence: allowance</t>
  </si>
  <si>
    <t>Finishes subtotal</t>
  </si>
  <si>
    <t>Electrical</t>
  </si>
  <si>
    <t>4</t>
  </si>
  <si>
    <t>Convenience outlet rough-in — Electrical rough-in allowance</t>
  </si>
  <si>
    <t>point</t>
  </si>
  <si>
    <t>Supplier: Electrical subcontractor | Pricing: Subcontractor allowance | As of 2026-06-02 | Confidence: allowance</t>
  </si>
  <si>
    <t>Electrical subtotal</t>
  </si>
  <si>
    <t>SUMMARY OF BID</t>
  </si>
  <si>
    <t>Generated</t>
  </si>
  <si>
    <t>2026-06-02T05:30:00.000Z</t>
  </si>
  <si>
    <t>SECTION</t>
  </si>
  <si>
    <t>ROWS</t>
  </si>
  <si>
    <t>AMOUNT</t>
  </si>
  <si>
    <t>Direct Cost</t>
  </si>
  <si>
    <t>Contingency</t>
  </si>
  <si>
    <t>VAT</t>
  </si>
  <si>
    <t>Grand Total</t>
  </si>
  <si>
    <t>Cost per sqm</t>
  </si>
  <si>
    <t>N/A</t>
  </si>
  <si>
    <t>Estimated duration</t>
  </si>
  <si>
    <t>To be confirmed</t>
  </si>
  <si>
    <t>COMMERCIAL TERMS</t>
  </si>
  <si>
    <t>Exclusions</t>
  </si>
  <si>
    <t>Items not expressly included in the bid form remain excluded unless confirmed in writing.</t>
  </si>
  <si>
    <t>Qualifications</t>
  </si>
  <si>
    <t>Amounts are generated from the current estimate data and remain subject to supplier quote verification.</t>
  </si>
  <si>
    <t>Payment Terms</t>
  </si>
  <si>
    <t>To be confirmed by the contractor and client before issuance.</t>
  </si>
  <si>
    <t>Validity</t>
  </si>
  <si>
    <t>Pricing validity to be confirmed.</t>
  </si>
  <si>
    <t>Warranty</t>
  </si>
  <si>
    <t>Warranty terms to be confirmed by supplier and contractor.</t>
  </si>
  <si>
    <t>Signature / Conforme</t>
  </si>
  <si>
    <t>Prepared by:</t>
  </si>
  <si>
    <t>Accepted by:</t>
  </si>
  <si>
    <t>Name / Signature / Date</t>
  </si>
  <si>
    <t>Source Breakdown</t>
  </si>
  <si>
    <t>Estimate</t>
  </si>
  <si>
    <t>Closed Beta Demo Estimate</t>
  </si>
  <si>
    <t>PROPOSAL NO.</t>
  </si>
  <si>
    <t>SOURCE ROW ID</t>
  </si>
  <si>
    <t>AREA</t>
  </si>
  <si>
    <t>AREA PATH</t>
  </si>
  <si>
    <t>MATERIAL UNIT COST</t>
  </si>
  <si>
    <t>LABOR UNIT COST</t>
  </si>
  <si>
    <t>MATERIAL SUBTOTAL</t>
  </si>
  <si>
    <t>LABOR SUBTOTAL</t>
  </si>
  <si>
    <t>MISC / OTHER</t>
  </si>
  <si>
    <t>COST AMOUNT</t>
  </si>
  <si>
    <t>mobilization</t>
  </si>
  <si>
    <t>Preliminaries</t>
  </si>
  <si>
    <t>General Requirements / Preliminaries</t>
  </si>
  <si>
    <t>bed-a-tile</t>
  </si>
  <si>
    <t>Bedroom A</t>
  </si>
  <si>
    <t>Main House / Bedroom A</t>
  </si>
  <si>
    <t>bed-a-paint</t>
  </si>
  <si>
    <t>service-electrical</t>
  </si>
  <si>
    <t>Service Room</t>
  </si>
  <si>
    <t>Main House / Service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</si>
</sst>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"/>
    <numFmt numFmtId="165" formatCode="₱ #,##0.00;[Red]-₱ #,##0.00"/>
  </numFmts>
  <fonts count="6" x14ac:knownFonts="1">
    <font>
      <color theme="1"/>
      <family val="2"/>
      <scheme val="minor"/>
      <sz val="11"/>
      <name val="Calibri"/>
    </font>
    <font>
      <b/>
      <color rgb="FF111827"/>
      <sz val="14"/>
    </font>
    <font>
      <b/>
      <color rgb="FF111827"/>
      <sz val="10"/>
    </font>
    <font>
      <color rgb="FF111827"/>
      <sz val="10"/>
    </font>
    <font>
      <color rgb="FF4B5563"/>
      <sz val="10"/>
    </font>
    <font>
      <b/>
      <color rgb="FFFFFFFF"/>
      <sz val="9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/>
      <right/>
      <top/>
      <bottom style="hair">
        <color rgb="FFD1D5DB"/>
      </bottom>
      <diagonal/>
    </border>
    <border>
      <left/>
      <right/>
      <top style="thin">
        <color rgb="FF111827"/>
      </top>
      <bottom style="double">
        <color rgb="FF111827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165" fontId="3" fillId="0" borderId="2" xfId="0" applyNumberFormat="1" applyFont="1" applyBorder="1" applyAlignment="1">
      <alignment vertical="top" wrapText="1"/>
    </xf>
    <xf numFmtId="0" fontId="2" fillId="3" borderId="3" xfId="0" applyFont="1" applyFill="1" applyBorder="1"/>
    <xf numFmtId="164" fontId="2" fillId="3" borderId="3" xfId="0" applyNumberFormat="1" applyFont="1" applyFill="1" applyBorder="1"/>
    <xf numFmtId="165" fontId="2" fillId="3" borderId="3" xfId="0" applyNumberFormat="1" applyFont="1" applyFill="1" applyBorder="1"/>
    <xf numFmtId="0" fontId="3" fillId="0" borderId="0" xfId="0" applyFont="1"/>
    <xf numFmtId="165" fontId="3" fillId="0" borderId="0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2" max="2" width="42" customWidth="1"/>
    <col min="3" max="3" width="10" customWidth="1"/>
    <col min="4" max="4" width="12" style="1" customWidth="1"/>
    <col min="5" max="8" width="16" style="2" customWidth="1"/>
    <col min="9" max="9" width="16" customWidth="1"/>
    <col min="10" max="10" width="42" customWidth="1"/>
  </cols>
  <sheetData>
    <row r="1" ht="22" customHeight="1" spans="1:10" s="3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2" x14ac:dyDescent="0.25">
      <c r="A2" s="4" t="s">
        <v>1</v>
      </c>
      <c r="B2" s="5" t="s">
        <v>2</v>
      </c>
    </row>
    <row r="3" spans="1:2" x14ac:dyDescent="0.25">
      <c r="A3" s="4" t="s">
        <v>3</v>
      </c>
      <c r="B3" s="5" t="s">
        <v>4</v>
      </c>
    </row>
    <row r="4" spans="1:2" x14ac:dyDescent="0.25">
      <c r="A4" s="4" t="s">
        <v>5</v>
      </c>
      <c r="B4" s="5" t="s">
        <v>6</v>
      </c>
    </row>
    <row r="5" spans="1:2" x14ac:dyDescent="0.25">
      <c r="A5" s="4" t="s">
        <v>7</v>
      </c>
      <c r="B5" s="5" t="s">
        <v>8</v>
      </c>
    </row>
    <row r="6" spans="1:2" x14ac:dyDescent="0.25">
      <c r="A6" s="4" t="s">
        <v>9</v>
      </c>
      <c r="B6" s="5" t="s">
        <v>10</v>
      </c>
    </row>
    <row r="7" spans="1:2" x14ac:dyDescent="0.25">
      <c r="A7" s="4" t="s">
        <v>11</v>
      </c>
      <c r="B7" s="5" t="s">
        <v>12</v>
      </c>
    </row>
    <row r="9" spans="1:1" s="4" customFormat="1" x14ac:dyDescent="0.25">
      <c r="A9" s="4" t="s">
        <v>13</v>
      </c>
    </row>
    <row r="11" spans="1:10" s="6" customFormat="1" x14ac:dyDescent="0.25">
      <c r="A11" s="6" t="s">
        <v>14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s="6" customFormat="1" x14ac:dyDescent="0.25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s="6" customFormat="1" x14ac:dyDescent="0.25">
      <c r="A13" s="6" t="s">
        <v>16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s="6" customFormat="1" x14ac:dyDescent="0.25">
      <c r="A14" s="6" t="s">
        <v>17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s="6" customFormat="1" x14ac:dyDescent="0.25">
      <c r="A15" s="6" t="s">
        <v>18</v>
      </c>
      <c r="B15" s="6"/>
      <c r="C15" s="6"/>
      <c r="D15" s="6"/>
      <c r="E15" s="6"/>
      <c r="F15" s="6"/>
      <c r="G15" s="6"/>
      <c r="H15" s="6"/>
      <c r="I15" s="6"/>
      <c r="J15" s="6"/>
    </row>
    <row r="17" ht="26" customHeight="1" spans="1:10" s="7" customFormat="1" x14ac:dyDescent="0.25">
      <c r="A17" s="7" t="s">
        <v>19</v>
      </c>
      <c r="B17" s="7" t="s">
        <v>20</v>
      </c>
      <c r="C17" s="7" t="s">
        <v>21</v>
      </c>
      <c r="D17" s="8" t="s">
        <v>22</v>
      </c>
      <c r="E17" s="9" t="s">
        <v>23</v>
      </c>
      <c r="F17" s="9" t="s">
        <v>24</v>
      </c>
      <c r="G17" s="9" t="s">
        <v>25</v>
      </c>
      <c r="H17" s="9" t="s">
        <v>26</v>
      </c>
      <c r="I17" s="7" t="s">
        <v>27</v>
      </c>
      <c r="J17" s="7" t="s">
        <v>28</v>
      </c>
    </row>
    <row r="18" spans="1:10" s="10" customFormat="1" x14ac:dyDescent="0.25">
      <c r="A18" s="10" t="s">
        <v>29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s="11" customFormat="1" x14ac:dyDescent="0.25">
      <c r="A19" s="12" t="s">
        <v>30</v>
      </c>
      <c r="B19" s="12" t="s">
        <v>31</v>
      </c>
      <c r="C19" s="12" t="s">
        <v>32</v>
      </c>
      <c r="D19" s="13">
        <v>1</v>
      </c>
      <c r="E19" s="14">
        <v>25000</v>
      </c>
      <c r="F19" s="14">
        <v>0</v>
      </c>
      <c r="G19" s="14">
        <f>E19+F19</f>
        <v>25000</v>
      </c>
      <c r="H19" s="14">
        <f>IF(OR(I19="EXCLUDED",I19="BY OTHERS",I19="OWNER SUPPLIED",I19="OSM",I19="OFCI",I19="OSCI",I19="OMITTED",I19="NOT APPLICABLE"),0,D19*G19+0)</f>
        <v>25000</v>
      </c>
      <c r="I19" s="12" t="s">
        <v>33</v>
      </c>
      <c r="J19" s="12" t="s">
        <v>34</v>
      </c>
    </row>
    <row r="20" spans="1:10" s="15" customFormat="1" x14ac:dyDescent="0.25">
      <c r="A20" s="15" t="s">
        <v>6</v>
      </c>
      <c r="B20" s="15" t="s">
        <v>35</v>
      </c>
      <c r="C20" s="15" t="s">
        <v>6</v>
      </c>
      <c r="D20" s="16" t="s">
        <v>6</v>
      </c>
      <c r="E20" s="17" t="s">
        <v>6</v>
      </c>
      <c r="F20" s="17" t="s">
        <v>6</v>
      </c>
      <c r="G20" s="17" t="s">
        <v>6</v>
      </c>
      <c r="H20" s="17">
        <f>SUM(H19:H19)</f>
        <v>25000</v>
      </c>
      <c r="I20" s="15" t="s">
        <v>6</v>
      </c>
      <c r="J20" s="15" t="s">
        <v>6</v>
      </c>
    </row>
    <row r="21" spans="1:10" s="10" customFormat="1" x14ac:dyDescent="0.25">
      <c r="A21" s="10" t="s">
        <v>36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s="11" customFormat="1" x14ac:dyDescent="0.25">
      <c r="A22" s="12" t="s">
        <v>37</v>
      </c>
      <c r="B22" s="12" t="s">
        <v>38</v>
      </c>
      <c r="C22" s="12" t="s">
        <v>39</v>
      </c>
      <c r="D22" s="13">
        <v>12</v>
      </c>
      <c r="E22" s="14">
        <v>950</v>
      </c>
      <c r="F22" s="14">
        <v>0</v>
      </c>
      <c r="G22" s="14">
        <f>E22+F22</f>
        <v>950</v>
      </c>
      <c r="H22" s="14">
        <f>IF(OR(I22="EXCLUDED",I22="BY OTHERS",I22="OWNER SUPPLIED",I22="OSM",I22="OFCI",I22="OSCI",I22="OMITTED",I22="NOT APPLICABLE"),0,D22*G22+500)</f>
        <v>11900</v>
      </c>
      <c r="I22" s="12" t="s">
        <v>33</v>
      </c>
      <c r="J22" s="12" t="s">
        <v>40</v>
      </c>
    </row>
    <row r="23" spans="1:10" s="11" customFormat="1" x14ac:dyDescent="0.25">
      <c r="A23" s="12" t="s">
        <v>41</v>
      </c>
      <c r="B23" s="12" t="s">
        <v>42</v>
      </c>
      <c r="C23" s="12" t="s">
        <v>39</v>
      </c>
      <c r="D23" s="13">
        <v>36</v>
      </c>
      <c r="E23" s="14">
        <v>180</v>
      </c>
      <c r="F23" s="14">
        <v>0</v>
      </c>
      <c r="G23" s="14">
        <f>E23+F23</f>
        <v>180</v>
      </c>
      <c r="H23" s="14">
        <f>IF(OR(I23="EXCLUDED",I23="BY OTHERS",I23="OWNER SUPPLIED",I23="OSM",I23="OFCI",I23="OSCI",I23="OMITTED",I23="NOT APPLICABLE"),0,D23*G23+250)</f>
        <v>6730</v>
      </c>
      <c r="I23" s="12" t="s">
        <v>33</v>
      </c>
      <c r="J23" s="12" t="s">
        <v>43</v>
      </c>
    </row>
    <row r="24" spans="1:10" s="15" customFormat="1" x14ac:dyDescent="0.25">
      <c r="A24" s="15" t="s">
        <v>6</v>
      </c>
      <c r="B24" s="15" t="s">
        <v>44</v>
      </c>
      <c r="C24" s="15" t="s">
        <v>6</v>
      </c>
      <c r="D24" s="16" t="s">
        <v>6</v>
      </c>
      <c r="E24" s="17" t="s">
        <v>6</v>
      </c>
      <c r="F24" s="17" t="s">
        <v>6</v>
      </c>
      <c r="G24" s="17" t="s">
        <v>6</v>
      </c>
      <c r="H24" s="17">
        <f>SUM(H22:H23)</f>
        <v>18630</v>
      </c>
      <c r="I24" s="15" t="s">
        <v>6</v>
      </c>
      <c r="J24" s="15" t="s">
        <v>6</v>
      </c>
    </row>
    <row r="25" spans="1:10" s="10" customFormat="1" x14ac:dyDescent="0.25">
      <c r="A25" s="10" t="s">
        <v>45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s="11" customFormat="1" x14ac:dyDescent="0.25">
      <c r="A26" s="12" t="s">
        <v>46</v>
      </c>
      <c r="B26" s="12" t="s">
        <v>47</v>
      </c>
      <c r="C26" s="12" t="s">
        <v>48</v>
      </c>
      <c r="D26" s="13">
        <v>8</v>
      </c>
      <c r="E26" s="14">
        <v>1450</v>
      </c>
      <c r="F26" s="14">
        <v>0</v>
      </c>
      <c r="G26" s="14">
        <f>E26+F26</f>
        <v>1450</v>
      </c>
      <c r="H26" s="14">
        <f>IF(OR(I26="EXCLUDED",I26="BY OTHERS",I26="OWNER SUPPLIED",I26="OSM",I26="OFCI",I26="OSCI",I26="OMITTED",I26="NOT APPLICABLE"),0,D26*G26+0)</f>
        <v>11600</v>
      </c>
      <c r="I26" s="12" t="s">
        <v>33</v>
      </c>
      <c r="J26" s="12" t="s">
        <v>49</v>
      </c>
    </row>
    <row r="27" spans="1:10" s="15" customFormat="1" x14ac:dyDescent="0.25">
      <c r="A27" s="15" t="s">
        <v>6</v>
      </c>
      <c r="B27" s="15" t="s">
        <v>50</v>
      </c>
      <c r="C27" s="15" t="s">
        <v>6</v>
      </c>
      <c r="D27" s="16" t="s">
        <v>6</v>
      </c>
      <c r="E27" s="17" t="s">
        <v>6</v>
      </c>
      <c r="F27" s="17" t="s">
        <v>6</v>
      </c>
      <c r="G27" s="17" t="s">
        <v>6</v>
      </c>
      <c r="H27" s="17">
        <f>SUM(H26:H26)</f>
        <v>11600</v>
      </c>
      <c r="I27" s="15" t="s">
        <v>6</v>
      </c>
      <c r="J27" s="15" t="s">
        <v>6</v>
      </c>
    </row>
  </sheetData>
  <mergeCells count="9">
    <mergeCell ref="A1:J1"/>
    <mergeCell ref="A11:J11"/>
    <mergeCell ref="A12:J12"/>
    <mergeCell ref="A13:J13"/>
    <mergeCell ref="A14:J14"/>
    <mergeCell ref="A15:J15"/>
    <mergeCell ref="A18:J18"/>
    <mergeCell ref="A21:J21"/>
    <mergeCell ref="A25:J25"/>
  </mergeCell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18" style="2" customWidth="1"/>
  </cols>
  <sheetData>
    <row r="1" ht="22" customHeight="1" spans="1:3" s="3" customFormat="1" x14ac:dyDescent="0.25">
      <c r="A1" s="3" t="s">
        <v>51</v>
      </c>
      <c r="B1" s="3"/>
      <c r="C1" s="3"/>
    </row>
    <row r="2" spans="1:2" x14ac:dyDescent="0.25">
      <c r="A2" s="4" t="s">
        <v>1</v>
      </c>
      <c r="B2" s="5" t="s">
        <v>2</v>
      </c>
    </row>
    <row r="3" spans="1:2" x14ac:dyDescent="0.25">
      <c r="A3" s="4" t="s">
        <v>3</v>
      </c>
      <c r="B3" s="5" t="s">
        <v>4</v>
      </c>
    </row>
    <row r="4" spans="1:2" x14ac:dyDescent="0.25">
      <c r="A4" s="4" t="s">
        <v>9</v>
      </c>
      <c r="B4" s="5" t="s">
        <v>10</v>
      </c>
    </row>
    <row r="5" spans="1:2" x14ac:dyDescent="0.25">
      <c r="A5" s="4" t="s">
        <v>52</v>
      </c>
      <c r="B5" s="5" t="s">
        <v>53</v>
      </c>
    </row>
    <row r="14" ht="26" customHeight="1" spans="1:3" s="7" customFormat="1" x14ac:dyDescent="0.25">
      <c r="A14" s="7" t="s">
        <v>54</v>
      </c>
      <c r="B14" s="7" t="s">
        <v>55</v>
      </c>
      <c r="C14" s="9" t="s">
        <v>56</v>
      </c>
    </row>
    <row r="15" spans="1:3" s="11" customFormat="1" x14ac:dyDescent="0.25">
      <c r="A15" s="12" t="s">
        <v>29</v>
      </c>
      <c r="B15" s="12">
        <v>1</v>
      </c>
      <c r="C15" s="14">
        <f>'Bid Form'!H20</f>
        <v>25000</v>
      </c>
    </row>
    <row r="16" spans="1:3" s="11" customFormat="1" x14ac:dyDescent="0.25">
      <c r="A16" s="12" t="s">
        <v>36</v>
      </c>
      <c r="B16" s="12">
        <v>2</v>
      </c>
      <c r="C16" s="14">
        <f>'Bid Form'!H24</f>
        <v>18630</v>
      </c>
    </row>
    <row r="17" spans="1:3" s="11" customFormat="1" x14ac:dyDescent="0.25">
      <c r="A17" s="12" t="s">
        <v>45</v>
      </c>
      <c r="B17" s="12">
        <v>1</v>
      </c>
      <c r="C17" s="14">
        <f>'Bid Form'!H27</f>
        <v>11600</v>
      </c>
    </row>
    <row r="27" spans="1:2" x14ac:dyDescent="0.25">
      <c r="A27" s="18" t="s">
        <v>57</v>
      </c>
      <c r="B27" s="19">
        <f>SUM(C15:C17)</f>
        <v>55230</v>
      </c>
    </row>
    <row r="28" spans="1:2" x14ac:dyDescent="0.25">
      <c r="A28" s="18" t="s">
        <v>58</v>
      </c>
      <c r="B28" s="19">
        <f>0</f>
        <v>0</v>
      </c>
    </row>
    <row r="29" spans="1:2" x14ac:dyDescent="0.25">
      <c r="A29" s="18" t="s">
        <v>59</v>
      </c>
      <c r="B29" s="19">
        <f>0</f>
        <v>0</v>
      </c>
    </row>
    <row r="30" spans="1:2" s="15" customFormat="1" x14ac:dyDescent="0.25">
      <c r="A30" s="15" t="s">
        <v>60</v>
      </c>
      <c r="B30" s="17">
        <f>B27+B28+B29</f>
        <v>55230</v>
      </c>
    </row>
    <row r="31" spans="1:2" x14ac:dyDescent="0.25">
      <c r="A31" t="s">
        <v>61</v>
      </c>
      <c r="B31" t="s">
        <v>62</v>
      </c>
    </row>
    <row r="32" spans="1:2" x14ac:dyDescent="0.25">
      <c r="A32" t="s">
        <v>63</v>
      </c>
      <c r="B32" t="s">
        <v>64</v>
      </c>
    </row>
  </sheetData>
  <mergeCells count="1">
    <mergeCell ref="A1:C1"/>
  </mergeCells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2" customWidth="1"/>
  </cols>
  <sheetData>
    <row r="1" ht="22" customHeight="1" spans="1:2" s="3" customFormat="1" x14ac:dyDescent="0.25">
      <c r="A1" s="3" t="s">
        <v>65</v>
      </c>
      <c r="B1" s="3"/>
    </row>
    <row r="3" ht="30" customHeight="1" spans="1:2" x14ac:dyDescent="0.25">
      <c r="A3" s="4" t="s">
        <v>66</v>
      </c>
      <c r="B3" s="20" t="s">
        <v>67</v>
      </c>
    </row>
    <row r="4" ht="30" customHeight="1" spans="1:2" x14ac:dyDescent="0.25">
      <c r="A4" s="4" t="s">
        <v>68</v>
      </c>
      <c r="B4" s="20" t="s">
        <v>69</v>
      </c>
    </row>
    <row r="5" ht="30" customHeight="1" spans="1:2" x14ac:dyDescent="0.25">
      <c r="A5" s="4" t="s">
        <v>70</v>
      </c>
      <c r="B5" s="20" t="s">
        <v>71</v>
      </c>
    </row>
    <row r="6" ht="30" customHeight="1" spans="1:2" x14ac:dyDescent="0.25">
      <c r="A6" s="4" t="s">
        <v>72</v>
      </c>
      <c r="B6" s="20" t="s">
        <v>73</v>
      </c>
    </row>
    <row r="7" ht="30" customHeight="1" spans="1:2" x14ac:dyDescent="0.25">
      <c r="A7" s="4" t="s">
        <v>74</v>
      </c>
      <c r="B7" s="20" t="s">
        <v>75</v>
      </c>
    </row>
    <row r="13" spans="1:1" x14ac:dyDescent="0.25">
      <c r="A13" s="4" t="s">
        <v>76</v>
      </c>
    </row>
    <row r="15" spans="1:2" x14ac:dyDescent="0.25">
      <c r="A15" t="s">
        <v>77</v>
      </c>
      <c r="B15" t="s">
        <v>78</v>
      </c>
    </row>
    <row r="18" spans="1:2" x14ac:dyDescent="0.25">
      <c r="A18" t="s">
        <v>79</v>
      </c>
      <c r="B18" t="s">
        <v>79</v>
      </c>
    </row>
  </sheetData>
  <mergeCells count="1">
    <mergeCell ref="A1:B1"/>
  </mergeCells>
  <pageMargins left="0.25" right="0.25" top="0.5" bottom="0.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22" customWidth="1"/>
    <col min="4" max="4" width="42" customWidth="1"/>
    <col min="5" max="5" width="48" customWidth="1"/>
    <col min="6" max="6" width="12" style="1" customWidth="1"/>
    <col min="7" max="7" width="10" customWidth="1"/>
    <col min="8" max="8" width="18" style="2" customWidth="1"/>
    <col min="9" max="9" width="16" style="2" customWidth="1"/>
    <col min="10" max="10" width="18" style="2" customWidth="1"/>
    <col min="11" max="12" width="16" style="2" customWidth="1"/>
    <col min="13" max="13" width="18" style="2" customWidth="1"/>
  </cols>
  <sheetData>
    <row r="1" ht="22" customHeight="1" spans="1:13" s="3" customFormat="1" x14ac:dyDescent="0.25">
      <c r="A1" s="3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2" x14ac:dyDescent="0.25">
      <c r="A2" s="4" t="s">
        <v>1</v>
      </c>
      <c r="B2" s="5" t="s">
        <v>2</v>
      </c>
    </row>
    <row r="3" spans="1:2" x14ac:dyDescent="0.25">
      <c r="A3" s="4" t="s">
        <v>81</v>
      </c>
      <c r="B3" s="5" t="s">
        <v>82</v>
      </c>
    </row>
    <row r="4" spans="1:2" x14ac:dyDescent="0.25">
      <c r="A4" s="4" t="s">
        <v>52</v>
      </c>
      <c r="B4" s="5" t="s">
        <v>53</v>
      </c>
    </row>
    <row r="6" ht="26" customHeight="1" spans="1:13" s="7" customFormat="1" x14ac:dyDescent="0.25">
      <c r="A6" s="7" t="s">
        <v>83</v>
      </c>
      <c r="B6" s="7" t="s">
        <v>84</v>
      </c>
      <c r="C6" s="7" t="s">
        <v>85</v>
      </c>
      <c r="D6" s="7" t="s">
        <v>86</v>
      </c>
      <c r="E6" s="7" t="s">
        <v>20</v>
      </c>
      <c r="F6" s="8" t="s">
        <v>22</v>
      </c>
      <c r="G6" s="7" t="s">
        <v>21</v>
      </c>
      <c r="H6" s="9" t="s">
        <v>87</v>
      </c>
      <c r="I6" s="9" t="s">
        <v>88</v>
      </c>
      <c r="J6" s="9" t="s">
        <v>89</v>
      </c>
      <c r="K6" s="9" t="s">
        <v>90</v>
      </c>
      <c r="L6" s="9" t="s">
        <v>91</v>
      </c>
      <c r="M6" s="9" t="s">
        <v>92</v>
      </c>
    </row>
    <row r="7" spans="1:13" s="11" customFormat="1" x14ac:dyDescent="0.25">
      <c r="A7" s="12" t="s">
        <v>30</v>
      </c>
      <c r="B7" s="12" t="s">
        <v>93</v>
      </c>
      <c r="C7" s="12" t="s">
        <v>94</v>
      </c>
      <c r="D7" s="12" t="s">
        <v>95</v>
      </c>
      <c r="E7" s="12" t="s">
        <v>31</v>
      </c>
      <c r="F7" s="13">
        <v>1</v>
      </c>
      <c r="G7" s="12" t="s">
        <v>32</v>
      </c>
      <c r="H7" s="14">
        <v>25000</v>
      </c>
      <c r="I7" s="14">
        <v>0</v>
      </c>
      <c r="J7" s="14">
        <v>25000</v>
      </c>
      <c r="K7" s="14">
        <v>0</v>
      </c>
      <c r="L7" s="14">
        <v>0</v>
      </c>
      <c r="M7" s="14">
        <v>25000</v>
      </c>
    </row>
    <row r="8" spans="1:13" s="11" customFormat="1" x14ac:dyDescent="0.25">
      <c r="A8" s="12" t="s">
        <v>37</v>
      </c>
      <c r="B8" s="12" t="s">
        <v>96</v>
      </c>
      <c r="C8" s="12" t="s">
        <v>97</v>
      </c>
      <c r="D8" s="12" t="s">
        <v>98</v>
      </c>
      <c r="E8" s="12" t="s">
        <v>38</v>
      </c>
      <c r="F8" s="13">
        <v>12</v>
      </c>
      <c r="G8" s="12" t="s">
        <v>39</v>
      </c>
      <c r="H8" s="14">
        <v>950</v>
      </c>
      <c r="I8" s="14">
        <v>0</v>
      </c>
      <c r="J8" s="14">
        <v>11400</v>
      </c>
      <c r="K8" s="14">
        <v>0</v>
      </c>
      <c r="L8" s="14">
        <v>500</v>
      </c>
      <c r="M8" s="14">
        <v>11900</v>
      </c>
    </row>
    <row r="9" spans="1:13" s="11" customFormat="1" x14ac:dyDescent="0.25">
      <c r="A9" s="12" t="s">
        <v>41</v>
      </c>
      <c r="B9" s="12" t="s">
        <v>99</v>
      </c>
      <c r="C9" s="12" t="s">
        <v>97</v>
      </c>
      <c r="D9" s="12" t="s">
        <v>98</v>
      </c>
      <c r="E9" s="12" t="s">
        <v>42</v>
      </c>
      <c r="F9" s="13">
        <v>36</v>
      </c>
      <c r="G9" s="12" t="s">
        <v>39</v>
      </c>
      <c r="H9" s="14">
        <v>180</v>
      </c>
      <c r="I9" s="14">
        <v>0</v>
      </c>
      <c r="J9" s="14">
        <v>6480</v>
      </c>
      <c r="K9" s="14">
        <v>0</v>
      </c>
      <c r="L9" s="14">
        <v>250</v>
      </c>
      <c r="M9" s="14">
        <v>6730</v>
      </c>
    </row>
    <row r="10" spans="1:13" s="11" customFormat="1" x14ac:dyDescent="0.25">
      <c r="A10" s="12" t="s">
        <v>46</v>
      </c>
      <c r="B10" s="12" t="s">
        <v>100</v>
      </c>
      <c r="C10" s="12" t="s">
        <v>101</v>
      </c>
      <c r="D10" s="12" t="s">
        <v>102</v>
      </c>
      <c r="E10" s="12" t="s">
        <v>47</v>
      </c>
      <c r="F10" s="13">
        <v>8</v>
      </c>
      <c r="G10" s="12" t="s">
        <v>48</v>
      </c>
      <c r="H10" s="14">
        <v>1450</v>
      </c>
      <c r="I10" s="14">
        <v>0</v>
      </c>
      <c r="J10" s="14">
        <v>11600</v>
      </c>
      <c r="K10" s="14">
        <v>0</v>
      </c>
      <c r="L10" s="14">
        <v>0</v>
      </c>
      <c r="M10" s="14">
        <v>11600</v>
      </c>
    </row>
  </sheetData>
  <mergeCells count="1">
    <mergeCell ref="A1:M1"/>
  </mergeCells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Bid Form</vt:lpstr>
      <vt:lpstr>Summary</vt:lpstr>
      <vt:lpstr>Commercial Terms</vt:lpstr>
      <vt:lpstr>Source Breakdown</vt:lpstr>
    </vt:vector>
  </TitlesOfParts>
  <Company>Archestimator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Archestimator</dc:creator>
  <dc:title>Lewis Residence Demo — Closed Beta Demo Estimate</dc:title>
  <dc:subject>Industry-standard proposal workbook</dc:subject>
  <dc:description/>
  <cp:keywords/>
  <cp:category/>
  <cp:lastModifiedBy>Archestimator</cp:lastModifiedBy>
  <dcterms:created xsi:type="dcterms:W3CDTF">2026-06-02T05:30:00Z</dcterms:created>
  <dcterms:modified xsi:type="dcterms:W3CDTF">2026-06-02T05:30:00Z</dcterms:modified>
</cp:coreProperties>
</file>